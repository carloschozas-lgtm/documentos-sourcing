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plynetcspcl-my.sharepoint.com/personal/cchozas_supplynet_cl/Documents/Documentos/QBS/APP TERMINOS DE REFERENCIA/00.- Preparación Proceso/"/>
    </mc:Choice>
  </mc:AlternateContent>
  <xr:revisionPtr revIDLastSave="25" documentId="8_{50D94D7C-D422-4F26-BE42-A24F2F0FABE6}" xr6:coauthVersionLast="47" xr6:coauthVersionMax="47" xr10:uidLastSave="{832A6F60-D005-4A53-9A3E-533234FCA2CB}"/>
  <bookViews>
    <workbookView xWindow="-108" yWindow="-108" windowWidth="23256" windowHeight="12456" xr2:uid="{63045DC8-5568-4F59-B293-02045F787DA5}"/>
  </bookViews>
  <sheets>
    <sheet name="Cronograma" sheetId="2" r:id="rId1"/>
    <sheet name="REVISIÓN OFERTAS" sheetId="1" r:id="rId2"/>
  </sheets>
  <definedNames>
    <definedName name="directorio" localSheetId="0">#REF!</definedName>
    <definedName name="directorio">#REF!</definedName>
    <definedName name="FERIADOS" localSheetId="0">#REF!</definedName>
    <definedName name="FERIADOS">#REF!</definedName>
    <definedName name="PRODUCTOS" localSheetId="0">#REF!</definedName>
    <definedName name="PRODUC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2" l="1"/>
  <c r="D37" i="2"/>
  <c r="L37" i="2"/>
  <c r="K19" i="2"/>
  <c r="J20" i="2" s="1"/>
  <c r="K20" i="2" s="1"/>
  <c r="J21" i="2" s="1"/>
  <c r="K21" i="2" s="1"/>
  <c r="J19" i="2"/>
  <c r="M14" i="2"/>
  <c r="M16" i="2" s="1"/>
  <c r="N16" i="2" s="1"/>
  <c r="J14" i="2"/>
  <c r="J16" i="2" s="1"/>
  <c r="K16" i="2" s="1"/>
  <c r="F14" i="2"/>
  <c r="F16" i="2" s="1"/>
  <c r="G16" i="2" s="1"/>
  <c r="J22" i="2" l="1"/>
  <c r="K22" i="2"/>
  <c r="M18" i="2"/>
  <c r="M19" i="2" s="1"/>
  <c r="N19" i="2" s="1"/>
  <c r="M20" i="2" s="1"/>
  <c r="N20" i="2" s="1"/>
  <c r="M21" i="2" s="1"/>
  <c r="N21" i="2" s="1"/>
  <c r="M22" i="2" s="1"/>
  <c r="N22" i="2" s="1"/>
  <c r="F19" i="2"/>
  <c r="G19" i="2" s="1"/>
  <c r="F20" i="2" s="1"/>
  <c r="G20" i="2" s="1"/>
  <c r="F21" i="2" l="1"/>
  <c r="G21" i="2"/>
  <c r="M23" i="2"/>
  <c r="N23" i="2"/>
  <c r="K23" i="2"/>
  <c r="J23" i="2"/>
  <c r="K24" i="2" l="1"/>
  <c r="J24" i="2"/>
  <c r="N24" i="2"/>
  <c r="M24" i="2"/>
  <c r="G22" i="2"/>
  <c r="G23" i="2" s="1"/>
  <c r="F22" i="2"/>
  <c r="J25" i="2" l="1"/>
  <c r="K25" i="2"/>
  <c r="F23" i="2"/>
  <c r="M25" i="2"/>
  <c r="N25" i="2"/>
  <c r="N26" i="2" l="1"/>
  <c r="M27" i="2" s="1"/>
  <c r="N27" i="2" s="1"/>
  <c r="M28" i="2" s="1"/>
  <c r="N28" i="2" s="1"/>
  <c r="M29" i="2" s="1"/>
  <c r="N29" i="2" s="1"/>
  <c r="M30" i="2" s="1"/>
  <c r="M31" i="2" s="1"/>
  <c r="M32" i="2" s="1"/>
  <c r="M33" i="2" s="1"/>
  <c r="M34" i="2" s="1"/>
  <c r="M35" i="2" s="1"/>
  <c r="M26" i="2"/>
  <c r="F24" i="2"/>
  <c r="G24" i="2"/>
  <c r="J26" i="2"/>
  <c r="K26" i="2"/>
  <c r="J27" i="2" s="1"/>
  <c r="K27" i="2" s="1"/>
  <c r="J28" i="2" s="1"/>
  <c r="K28" i="2" s="1"/>
  <c r="J29" i="2" s="1"/>
  <c r="K29" i="2" s="1"/>
  <c r="J30" i="2" s="1"/>
  <c r="J31" i="2" s="1"/>
  <c r="J32" i="2" s="1"/>
  <c r="J33" i="2" s="1"/>
  <c r="J34" i="2" s="1"/>
  <c r="J35" i="2" s="1"/>
  <c r="F25" i="2" l="1"/>
  <c r="G25" i="2"/>
  <c r="G26" i="2" s="1"/>
  <c r="F27" i="2" l="1"/>
  <c r="F26" i="2"/>
  <c r="G27" i="2" l="1"/>
  <c r="F28" i="2" s="1"/>
  <c r="G28" i="2" s="1"/>
  <c r="F29" i="2" s="1"/>
  <c r="G29" i="2" s="1"/>
  <c r="F30" i="2" s="1"/>
  <c r="G30" i="2" l="1"/>
  <c r="F31" i="2"/>
  <c r="F32" i="2"/>
  <c r="G31" i="2"/>
  <c r="G32" i="2" l="1"/>
  <c r="F33" i="2"/>
  <c r="F34" i="2" l="1"/>
  <c r="G33" i="2"/>
  <c r="G34" i="2" l="1"/>
  <c r="F35" i="2"/>
  <c r="G35" i="2" s="1"/>
</calcChain>
</file>

<file path=xl/sharedStrings.xml><?xml version="1.0" encoding="utf-8"?>
<sst xmlns="http://schemas.openxmlformats.org/spreadsheetml/2006/main" count="142" uniqueCount="76">
  <si>
    <t>Proveedor</t>
  </si>
  <si>
    <t>Comentarios</t>
  </si>
  <si>
    <t>Doc. Administrativos:</t>
  </si>
  <si>
    <t>Anexos técnicos:</t>
  </si>
  <si>
    <t>Form. A-01 Individualización del proponente</t>
  </si>
  <si>
    <t>OK</t>
  </si>
  <si>
    <t>notario</t>
  </si>
  <si>
    <t>Form. A-02 Declaración de conocimiento y aceptación de condiciones</t>
  </si>
  <si>
    <t>OK (SFN)</t>
  </si>
  <si>
    <t>Form. A-03 Acta compromiso de confidencialidad</t>
  </si>
  <si>
    <t>Form. A-04 Malla societaria</t>
  </si>
  <si>
    <t>Form. A-05 Registro de inscripción de proveedores enap</t>
  </si>
  <si>
    <t xml:space="preserve">Form. A-06 Declaración de proponentes pluripersonales </t>
  </si>
  <si>
    <t>Form. A-07 Declaración jurada sobre causas judiciales</t>
  </si>
  <si>
    <t>Form. A-08 Declaración sobre no concurrencia de inhabilidades con grupo de empresas enap</t>
  </si>
  <si>
    <t>Form. A-09 Acta compromisos subcontratista</t>
  </si>
  <si>
    <t>Anexo T-01 Comprensión del Servicio</t>
  </si>
  <si>
    <t>Anexo T-02 Metodología propuesta</t>
  </si>
  <si>
    <t>Anexo T-03 Experiencia de la Empresa</t>
  </si>
  <si>
    <t>Anexo T-04 Equipo de trabajo</t>
  </si>
  <si>
    <t>HSE</t>
  </si>
  <si>
    <t>Fatalidades últimos 3 años (nivel empresa)</t>
  </si>
  <si>
    <t>Índice de frecuencia ACTP (nivel empresa)</t>
  </si>
  <si>
    <t>Índice de gravedad, cantidad de accidentes</t>
  </si>
  <si>
    <t>MA</t>
  </si>
  <si>
    <t>CALIDAD</t>
  </si>
  <si>
    <t>xxxx</t>
  </si>
  <si>
    <t>*SFN (sin firma notarial)</t>
  </si>
  <si>
    <t>CRONOGRAMA DEL PROCESO</t>
  </si>
  <si>
    <t>SOLPED</t>
  </si>
  <si>
    <t>NOMBRE</t>
  </si>
  <si>
    <t>Servicio Standard</t>
  </si>
  <si>
    <t>TIPO PROCESO</t>
  </si>
  <si>
    <t>Cotización</t>
  </si>
  <si>
    <t xml:space="preserve">FECHA ASIGNACIÓN   </t>
  </si>
  <si>
    <t>CALENDARIO INICIAL</t>
  </si>
  <si>
    <t>CALENDARIO CORREGIDO</t>
  </si>
  <si>
    <t>ETAPA</t>
  </si>
  <si>
    <t>DURACIÓN ETAPA</t>
  </si>
  <si>
    <t>TAREA</t>
  </si>
  <si>
    <t>INICIO</t>
  </si>
  <si>
    <t>FIN</t>
  </si>
  <si>
    <t>DÍAS HABILES</t>
  </si>
  <si>
    <t>HORA LIMITE</t>
  </si>
  <si>
    <t>PRE-SOURCING</t>
  </si>
  <si>
    <t>Revisión Antecedentes Proceso</t>
  </si>
  <si>
    <t>Reunión Coordinación Usuario</t>
  </si>
  <si>
    <t>PREPARACIÓN</t>
  </si>
  <si>
    <t>Elaboración de Términos de Referencia</t>
  </si>
  <si>
    <t>SOURCING</t>
  </si>
  <si>
    <t>Invitación a Cotizar</t>
  </si>
  <si>
    <t>15:00 HRS</t>
  </si>
  <si>
    <t>Reunión Aclaratoria o Visita a terreno</t>
  </si>
  <si>
    <t>Recepción de Consultas</t>
  </si>
  <si>
    <t>Respuestas</t>
  </si>
  <si>
    <t>Recepción de Ofertas</t>
  </si>
  <si>
    <t>ADJUDICACIÓN</t>
  </si>
  <si>
    <t>Evaluación Técnica</t>
  </si>
  <si>
    <t>Evaluación SSO</t>
  </si>
  <si>
    <t>Evaluación MA</t>
  </si>
  <si>
    <t>Evaluación Económica y Negociación</t>
  </si>
  <si>
    <t>Preparación Minuta</t>
  </si>
  <si>
    <t>Aprobación Minuta</t>
  </si>
  <si>
    <t>Firma Carta Adj.</t>
  </si>
  <si>
    <t>KOM</t>
  </si>
  <si>
    <t>FIRMA ACTA INICIO</t>
  </si>
  <si>
    <t>CONTRATO</t>
  </si>
  <si>
    <t>GENERACIÓN OS</t>
  </si>
  <si>
    <t>LIBERACIÓN OS</t>
  </si>
  <si>
    <t xml:space="preserve">FIRMA OS PROVEEDOR </t>
  </si>
  <si>
    <t>FIRMA OS ENAP</t>
  </si>
  <si>
    <t>TIEMPO PROCESO ESTÁNDAR</t>
  </si>
  <si>
    <t>TIEMPO PROCESO</t>
  </si>
  <si>
    <t>TIEMPO PROCESO REAL</t>
  </si>
  <si>
    <t>días hábiles</t>
  </si>
  <si>
    <t>SERVICIO FOTOGRAFIA PARA EL GRUPO ENAP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</si>
</sst>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 applyAlignment="1">
      <alignment horizontal="center" vertical="center"/>
    </xf>
    <xf numFmtId="0" fontId="2" fillId="0" borderId="0" xfId="1"/>
    <xf numFmtId="0" fontId="2" fillId="0" borderId="0" xfId="1" applyAlignment="1">
      <alignment horizontal="left" vertical="center" wrapText="1"/>
    </xf>
    <xf numFmtId="0" fontId="2" fillId="0" borderId="0" xfId="1" applyAlignment="1">
      <alignment horizontal="center" vertical="center" wrapText="1"/>
    </xf>
    <xf numFmtId="0" fontId="1" fillId="0" borderId="0" xfId="1" applyFont="1" applyAlignment="1">
      <alignment wrapText="1"/>
    </xf>
    <xf numFmtId="0" fontId="2" fillId="0" borderId="0" xfId="1" applyAlignment="1">
      <alignment wrapText="1"/>
    </xf>
    <xf numFmtId="0" fontId="2" fillId="0" borderId="0" xfId="1" applyAlignment="1">
      <alignment horizontal="right"/>
    </xf>
    <xf numFmtId="14" fontId="2" fillId="5" borderId="4" xfId="1" applyNumberFormat="1" applyFill="1" applyBorder="1" applyAlignment="1">
      <alignment horizontal="center"/>
    </xf>
    <xf numFmtId="0" fontId="2" fillId="0" borderId="0" xfId="1" applyAlignment="1">
      <alignment horizontal="center"/>
    </xf>
    <xf numFmtId="0" fontId="1" fillId="0" borderId="5" xfId="1" applyFont="1" applyBorder="1" applyAlignment="1">
      <alignment horizontal="center" vertical="center"/>
    </xf>
    <xf numFmtId="0" fontId="1" fillId="0" borderId="0" xfId="1" applyFont="1"/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0" xfId="1" applyAlignment="1">
      <alignment vertical="center"/>
    </xf>
    <xf numFmtId="0" fontId="2" fillId="7" borderId="13" xfId="1" applyFill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14" fontId="2" fillId="0" borderId="15" xfId="1" applyNumberFormat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2" fillId="0" borderId="20" xfId="1" applyBorder="1" applyAlignment="1">
      <alignment vertical="center"/>
    </xf>
    <xf numFmtId="14" fontId="2" fillId="0" borderId="20" xfId="1" applyNumberFormat="1" applyBorder="1" applyAlignment="1">
      <alignment horizontal="center" vertical="center"/>
    </xf>
    <xf numFmtId="0" fontId="2" fillId="7" borderId="21" xfId="1" applyFill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14" fontId="2" fillId="0" borderId="12" xfId="1" applyNumberFormat="1" applyBorder="1" applyAlignment="1">
      <alignment horizontal="center" vertical="center"/>
    </xf>
    <xf numFmtId="0" fontId="2" fillId="7" borderId="16" xfId="1" applyFill="1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2" fillId="0" borderId="15" xfId="1" applyBorder="1" applyAlignment="1">
      <alignment vertical="center"/>
    </xf>
    <xf numFmtId="0" fontId="2" fillId="0" borderId="12" xfId="1" applyBorder="1" applyAlignment="1">
      <alignment vertical="center"/>
    </xf>
    <xf numFmtId="0" fontId="2" fillId="0" borderId="0" xfId="1" applyAlignment="1">
      <alignment horizontal="left" vertical="center"/>
    </xf>
    <xf numFmtId="14" fontId="2" fillId="0" borderId="0" xfId="1" applyNumberFormat="1" applyAlignment="1">
      <alignment horizontal="center" vertical="center"/>
    </xf>
    <xf numFmtId="14" fontId="2" fillId="0" borderId="11" xfId="1" applyNumberFormat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0" borderId="19" xfId="1" applyBorder="1" applyAlignment="1">
      <alignment vertic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4" fontId="2" fillId="0" borderId="15" xfId="1" applyNumberFormat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14" fontId="2" fillId="0" borderId="20" xfId="1" applyNumberFormat="1" applyBorder="1" applyAlignment="1">
      <alignment horizontal="center" vertical="center"/>
    </xf>
    <xf numFmtId="14" fontId="2" fillId="0" borderId="19" xfId="1" applyNumberFormat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2" fillId="5" borderId="1" xfId="1" applyFill="1" applyBorder="1" applyAlignment="1">
      <alignment horizontal="center"/>
    </xf>
    <xf numFmtId="0" fontId="2" fillId="5" borderId="2" xfId="1" applyFill="1" applyBorder="1" applyAlignment="1">
      <alignment horizontal="center"/>
    </xf>
    <xf numFmtId="0" fontId="2" fillId="5" borderId="3" xfId="1" applyFill="1" applyBorder="1" applyAlignment="1">
      <alignment horizontal="center"/>
    </xf>
    <xf numFmtId="0" fontId="2" fillId="5" borderId="1" xfId="1" applyFill="1" applyBorder="1" applyAlignment="1">
      <alignment horizontal="center" vertical="center" wrapText="1"/>
    </xf>
    <xf numFmtId="0" fontId="2" fillId="5" borderId="2" xfId="1" applyFill="1" applyBorder="1" applyAlignment="1">
      <alignment horizontal="center" vertical="center" wrapText="1"/>
    </xf>
    <xf numFmtId="0" fontId="2" fillId="5" borderId="3" xfId="1" applyFill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0" fontId="3" fillId="6" borderId="17" xfId="1" applyFont="1" applyFill="1" applyBorder="1" applyAlignment="1">
      <alignment horizontal="center" vertical="center"/>
    </xf>
    <xf numFmtId="0" fontId="3" fillId="6" borderId="18" xfId="1" applyFont="1" applyFill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14" fontId="2" fillId="0" borderId="12" xfId="1" applyNumberFormat="1" applyBorder="1" applyAlignment="1">
      <alignment horizontal="center" vertical="center" wrapText="1"/>
    </xf>
    <xf numFmtId="0" fontId="2" fillId="0" borderId="15" xfId="1" applyBorder="1" applyAlignment="1">
      <alignment horizontal="center" vertical="center"/>
    </xf>
    <xf numFmtId="14" fontId="2" fillId="0" borderId="12" xfId="1" applyNumberFormat="1" applyBorder="1" applyAlignment="1">
      <alignment horizontal="center" vertical="center"/>
    </xf>
    <xf numFmtId="0" fontId="3" fillId="6" borderId="24" xfId="1" applyFont="1" applyFill="1" applyBorder="1" applyAlignment="1">
      <alignment horizontal="center" vertical="center" wrapText="1"/>
    </xf>
    <xf numFmtId="0" fontId="3" fillId="6" borderId="25" xfId="1" applyFont="1" applyFill="1" applyBorder="1" applyAlignment="1">
      <alignment horizontal="center" vertical="center" wrapText="1"/>
    </xf>
    <xf numFmtId="0" fontId="3" fillId="6" borderId="11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9" xfId="1" applyFont="1" applyFill="1" applyBorder="1" applyAlignment="1">
      <alignment horizontal="center" vertical="center" wrapText="1"/>
    </xf>
    <xf numFmtId="0" fontId="3" fillId="6" borderId="10" xfId="1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2" fillId="0" borderId="23" xfId="1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  <xf numFmtId="14" fontId="2" fillId="0" borderId="0" xfId="1" applyNumberFormat="1" applyAlignment="1">
      <alignment horizontal="center" vertical="center"/>
    </xf>
    <xf numFmtId="14" fontId="2" fillId="0" borderId="11" xfId="1" applyNumberFormat="1" applyBorder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AE09934-6E28-4534-999E-25E63F99F34A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66BE-1E35-4704-9C74-09E598702A01}">
  <dimension ref="A2:O38"/>
  <sheetViews>
    <sheetView showGridLines="0" tabSelected="1" zoomScale="90" zoomScaleNormal="90" workbookViewId="0">
      <selection activeCell="B5" sqref="B5"/>
    </sheetView>
  </sheetViews>
  <sheetFormatPr baseColWidth="10" defaultColWidth="11.44140625" defaultRowHeight="14.4" outlineLevelCol="1" x14ac:dyDescent="0.3"/>
  <cols>
    <col min="1" max="1" width="17.44140625" style="6" customWidth="1"/>
    <col min="2" max="2" width="8.44140625" style="6" customWidth="1"/>
    <col min="3" max="3" width="1.44140625" style="6" customWidth="1"/>
    <col min="4" max="4" width="13.44140625" style="6" customWidth="1"/>
    <col min="5" max="5" width="35.21875" style="6" customWidth="1"/>
    <col min="6" max="6" width="17.5546875" style="6" customWidth="1" outlineLevel="1"/>
    <col min="7" max="7" width="15.5546875" style="6" customWidth="1" outlineLevel="1"/>
    <col min="8" max="8" width="14" style="6" customWidth="1" outlineLevel="1"/>
    <col min="9" max="9" width="11.44140625" style="5" customWidth="1" outlineLevel="1"/>
    <col min="10" max="11" width="16.77734375" style="6" customWidth="1"/>
    <col min="12" max="12" width="14.44140625" style="6" customWidth="1"/>
    <col min="13" max="13" width="11.77734375" style="6" bestFit="1" customWidth="1"/>
    <col min="14" max="16384" width="11.44140625" style="6"/>
  </cols>
  <sheetData>
    <row r="2" spans="1:15" ht="18" x14ac:dyDescent="0.35">
      <c r="A2" s="55" t="s">
        <v>28</v>
      </c>
      <c r="B2" s="55"/>
      <c r="C2" s="55"/>
      <c r="D2" s="55"/>
      <c r="E2" s="55"/>
      <c r="F2" s="55"/>
      <c r="G2" s="55"/>
      <c r="H2" s="55"/>
    </row>
    <row r="4" spans="1:15" x14ac:dyDescent="0.3">
      <c r="A4" s="6" t="s">
        <v>29</v>
      </c>
      <c r="B4" s="56">
        <v>3100000000</v>
      </c>
      <c r="C4" s="57"/>
      <c r="D4" s="58"/>
    </row>
    <row r="5" spans="1:15" ht="8.1" customHeight="1" x14ac:dyDescent="0.3"/>
    <row r="6" spans="1:15" s="10" customFormat="1" ht="37.5" customHeight="1" x14ac:dyDescent="0.3">
      <c r="A6" s="7" t="s">
        <v>30</v>
      </c>
      <c r="B6" s="59" t="s">
        <v>75</v>
      </c>
      <c r="C6" s="60"/>
      <c r="D6" s="60"/>
      <c r="E6" s="60"/>
      <c r="F6" s="60"/>
      <c r="G6" s="60"/>
      <c r="H6" s="61"/>
      <c r="I6" s="8"/>
      <c r="J6" s="9" t="s">
        <v>31</v>
      </c>
    </row>
    <row r="7" spans="1:15" ht="8.1" customHeight="1" x14ac:dyDescent="0.3"/>
    <row r="8" spans="1:15" x14ac:dyDescent="0.3">
      <c r="A8" s="6" t="s">
        <v>32</v>
      </c>
      <c r="B8" s="56" t="s">
        <v>33</v>
      </c>
      <c r="C8" s="57"/>
      <c r="D8" s="58"/>
      <c r="E8" s="11" t="s">
        <v>34</v>
      </c>
      <c r="F8" s="12"/>
      <c r="G8" s="13"/>
    </row>
    <row r="10" spans="1:15" x14ac:dyDescent="0.3">
      <c r="E10" s="14" t="s">
        <v>35</v>
      </c>
      <c r="H10" s="15"/>
    </row>
    <row r="11" spans="1:15" ht="28.5" customHeight="1" x14ac:dyDescent="0.3">
      <c r="A11" s="16"/>
      <c r="B11" s="14"/>
      <c r="C11" s="14"/>
      <c r="D11" s="14"/>
      <c r="E11" s="14"/>
      <c r="F11" s="14"/>
      <c r="G11" s="14"/>
      <c r="H11" s="14"/>
      <c r="I11" s="17"/>
      <c r="J11" s="62" t="s">
        <v>36</v>
      </c>
      <c r="K11" s="63"/>
      <c r="L11" s="64"/>
      <c r="M11" s="62" t="s">
        <v>36</v>
      </c>
      <c r="N11" s="63"/>
      <c r="O11" s="64"/>
    </row>
    <row r="12" spans="1:15" ht="28.2" thickBot="1" x14ac:dyDescent="0.35">
      <c r="A12" s="65" t="s">
        <v>37</v>
      </c>
      <c r="B12" s="66"/>
      <c r="C12" s="66"/>
      <c r="D12" s="20" t="s">
        <v>38</v>
      </c>
      <c r="E12" s="19" t="s">
        <v>39</v>
      </c>
      <c r="F12" s="19" t="s">
        <v>40</v>
      </c>
      <c r="G12" s="19" t="s">
        <v>41</v>
      </c>
      <c r="H12" s="19" t="s">
        <v>42</v>
      </c>
      <c r="I12" s="21" t="s">
        <v>43</v>
      </c>
      <c r="J12" s="18" t="s">
        <v>40</v>
      </c>
      <c r="K12" s="19" t="s">
        <v>41</v>
      </c>
      <c r="L12" s="22" t="s">
        <v>42</v>
      </c>
      <c r="M12" s="18" t="s">
        <v>40</v>
      </c>
      <c r="N12" s="19" t="s">
        <v>41</v>
      </c>
      <c r="O12" s="22" t="s">
        <v>42</v>
      </c>
    </row>
    <row r="13" spans="1:15" s="24" customFormat="1" ht="20.100000000000001" hidden="1" customHeight="1" thickBot="1" x14ac:dyDescent="0.35">
      <c r="A13" s="67" t="s">
        <v>44</v>
      </c>
      <c r="B13" s="68"/>
      <c r="C13" s="68"/>
      <c r="D13" s="71">
        <v>2</v>
      </c>
      <c r="E13" s="24" t="s">
        <v>45</v>
      </c>
      <c r="F13" s="73">
        <v>45511</v>
      </c>
      <c r="G13" s="73"/>
      <c r="H13" s="25">
        <v>5</v>
      </c>
      <c r="I13" s="26"/>
      <c r="J13" s="50">
        <v>45468</v>
      </c>
      <c r="K13" s="51"/>
      <c r="L13" s="29">
        <v>6</v>
      </c>
      <c r="M13" s="50">
        <v>45212</v>
      </c>
      <c r="N13" s="51"/>
      <c r="O13" s="29">
        <v>1</v>
      </c>
    </row>
    <row r="14" spans="1:15" s="24" customFormat="1" ht="20.100000000000001" hidden="1" customHeight="1" thickTop="1" thickBot="1" x14ac:dyDescent="0.35">
      <c r="A14" s="69"/>
      <c r="B14" s="70"/>
      <c r="C14" s="70"/>
      <c r="D14" s="72"/>
      <c r="E14" s="31" t="s">
        <v>46</v>
      </c>
      <c r="F14" s="52">
        <f>WORKDAY(F13,H13)</f>
        <v>45518</v>
      </c>
      <c r="G14" s="52"/>
      <c r="H14" s="33"/>
      <c r="I14" s="34"/>
      <c r="J14" s="53">
        <f>WORKDAY(J13,L13)</f>
        <v>45476</v>
      </c>
      <c r="K14" s="54"/>
      <c r="L14" s="36"/>
      <c r="M14" s="53">
        <f>WORKDAY(M13,O13)</f>
        <v>45215</v>
      </c>
      <c r="N14" s="54"/>
      <c r="O14" s="36"/>
    </row>
    <row r="15" spans="1:15" s="24" customFormat="1" ht="20.100000000000001" hidden="1" customHeight="1" thickTop="1" thickBot="1" x14ac:dyDescent="0.35">
      <c r="A15" s="69" t="s">
        <v>47</v>
      </c>
      <c r="B15" s="70"/>
      <c r="C15" s="70"/>
      <c r="D15" s="74">
        <v>5</v>
      </c>
      <c r="E15" s="28"/>
      <c r="F15" s="38"/>
      <c r="G15" s="38"/>
      <c r="H15" s="39"/>
      <c r="I15" s="40"/>
      <c r="J15" s="41"/>
      <c r="K15" s="42"/>
      <c r="L15" s="29"/>
      <c r="M15" s="41"/>
      <c r="N15" s="42"/>
      <c r="O15" s="29"/>
    </row>
    <row r="16" spans="1:15" s="24" customFormat="1" ht="20.100000000000001" hidden="1" customHeight="1" thickTop="1" thickBot="1" x14ac:dyDescent="0.35">
      <c r="A16" s="69"/>
      <c r="B16" s="70"/>
      <c r="C16" s="70"/>
      <c r="D16" s="72"/>
      <c r="E16" s="43" t="s">
        <v>48</v>
      </c>
      <c r="F16" s="44">
        <f>WORKDAY(F14,H14)</f>
        <v>45518</v>
      </c>
      <c r="G16" s="44">
        <f>WORKDAY(F16,H16)+1</f>
        <v>45525</v>
      </c>
      <c r="H16" s="25">
        <v>4</v>
      </c>
      <c r="I16" s="26"/>
      <c r="J16" s="45">
        <f>+J14</f>
        <v>45476</v>
      </c>
      <c r="K16" s="44">
        <f>WORKDAY(J16,L16)</f>
        <v>45483</v>
      </c>
      <c r="L16" s="46">
        <v>5</v>
      </c>
      <c r="M16" s="45">
        <f>+M14</f>
        <v>45215</v>
      </c>
      <c r="N16" s="44">
        <f>WORKDAY(M16,O16)</f>
        <v>45217</v>
      </c>
      <c r="O16" s="46">
        <v>2</v>
      </c>
    </row>
    <row r="17" spans="1:15" s="24" customFormat="1" ht="20.100000000000001" hidden="1" customHeight="1" thickTop="1" thickBot="1" x14ac:dyDescent="0.35">
      <c r="A17" s="69"/>
      <c r="B17" s="70"/>
      <c r="C17" s="70"/>
      <c r="D17" s="72"/>
      <c r="E17" s="35"/>
      <c r="F17" s="32"/>
      <c r="G17" s="32"/>
      <c r="H17" s="33"/>
      <c r="I17" s="34"/>
      <c r="J17" s="47"/>
      <c r="K17" s="31"/>
      <c r="L17" s="36"/>
      <c r="M17" s="47"/>
      <c r="N17" s="31"/>
      <c r="O17" s="36"/>
    </row>
    <row r="18" spans="1:15" s="24" customFormat="1" ht="20.100000000000001" customHeight="1" thickTop="1" thickBot="1" x14ac:dyDescent="0.35">
      <c r="A18" s="69" t="s">
        <v>49</v>
      </c>
      <c r="B18" s="70"/>
      <c r="C18" s="70"/>
      <c r="D18" s="74">
        <v>15</v>
      </c>
      <c r="E18" s="42" t="s">
        <v>50</v>
      </c>
      <c r="F18" s="75">
        <v>45567</v>
      </c>
      <c r="G18" s="75"/>
      <c r="H18" s="39"/>
      <c r="I18" s="37" t="s">
        <v>51</v>
      </c>
      <c r="J18" s="50">
        <v>45532</v>
      </c>
      <c r="K18" s="75"/>
      <c r="L18" s="29">
        <v>5</v>
      </c>
      <c r="M18" s="50">
        <f>F18</f>
        <v>45567</v>
      </c>
      <c r="N18" s="75"/>
      <c r="O18" s="29">
        <v>1</v>
      </c>
    </row>
    <row r="19" spans="1:15" s="24" customFormat="1" ht="20.100000000000001" customHeight="1" thickTop="1" thickBot="1" x14ac:dyDescent="0.35">
      <c r="A19" s="69"/>
      <c r="B19" s="70"/>
      <c r="C19" s="70"/>
      <c r="D19" s="71"/>
      <c r="E19" s="24" t="s">
        <v>52</v>
      </c>
      <c r="F19" s="44">
        <f>+F18</f>
        <v>45567</v>
      </c>
      <c r="G19" s="44">
        <f>WORKDAY(F19,H19)</f>
        <v>45569</v>
      </c>
      <c r="H19" s="25">
        <v>2</v>
      </c>
      <c r="I19" s="23" t="s">
        <v>51</v>
      </c>
      <c r="J19" s="45">
        <f>+J18</f>
        <v>45532</v>
      </c>
      <c r="K19" s="44">
        <f>WORKDAY(J19,L19)</f>
        <v>45534</v>
      </c>
      <c r="L19" s="46">
        <v>2</v>
      </c>
      <c r="M19" s="45">
        <f>+M18</f>
        <v>45567</v>
      </c>
      <c r="N19" s="44">
        <f>WORKDAY(M19,O19)+1</f>
        <v>45570</v>
      </c>
      <c r="O19" s="46">
        <v>2</v>
      </c>
    </row>
    <row r="20" spans="1:15" s="24" customFormat="1" ht="20.100000000000001" customHeight="1" thickTop="1" thickBot="1" x14ac:dyDescent="0.35">
      <c r="A20" s="69"/>
      <c r="B20" s="70"/>
      <c r="C20" s="70"/>
      <c r="D20" s="71"/>
      <c r="E20" s="24" t="s">
        <v>53</v>
      </c>
      <c r="F20" s="44">
        <f t="shared" ref="F20:F29" si="0">+G19</f>
        <v>45569</v>
      </c>
      <c r="G20" s="44">
        <f>WORKDAY(F20,H20)</f>
        <v>45573</v>
      </c>
      <c r="H20" s="25">
        <v>2</v>
      </c>
      <c r="I20" s="23" t="s">
        <v>51</v>
      </c>
      <c r="J20" s="45">
        <f>+K19</f>
        <v>45534</v>
      </c>
      <c r="K20" s="44">
        <f>WORKDAY(J20,L20)</f>
        <v>45538</v>
      </c>
      <c r="L20" s="46">
        <v>2</v>
      </c>
      <c r="M20" s="45">
        <f t="shared" ref="M20:M29" si="1">+N19</f>
        <v>45570</v>
      </c>
      <c r="N20" s="44">
        <f>WORKDAY(M20,O20)</f>
        <v>45573</v>
      </c>
      <c r="O20" s="46">
        <v>2</v>
      </c>
    </row>
    <row r="21" spans="1:15" s="24" customFormat="1" ht="20.100000000000001" customHeight="1" thickTop="1" thickBot="1" x14ac:dyDescent="0.35">
      <c r="A21" s="69"/>
      <c r="B21" s="70"/>
      <c r="C21" s="70"/>
      <c r="D21" s="71"/>
      <c r="E21" s="24" t="s">
        <v>54</v>
      </c>
      <c r="F21" s="44">
        <f t="shared" si="0"/>
        <v>45573</v>
      </c>
      <c r="G21" s="44">
        <f>WORKDAY(G20,H21)</f>
        <v>45574</v>
      </c>
      <c r="H21" s="25">
        <v>1</v>
      </c>
      <c r="I21" s="23" t="s">
        <v>51</v>
      </c>
      <c r="J21" s="45">
        <f t="shared" ref="J21:J29" si="2">+K20</f>
        <v>45538</v>
      </c>
      <c r="K21" s="44">
        <f>WORKDAY(J21,L21)</f>
        <v>45545</v>
      </c>
      <c r="L21" s="46">
        <v>5</v>
      </c>
      <c r="M21" s="45">
        <f t="shared" si="1"/>
        <v>45573</v>
      </c>
      <c r="N21" s="44">
        <f>WORKDAY(M21,O21)</f>
        <v>45576</v>
      </c>
      <c r="O21" s="46">
        <v>3</v>
      </c>
    </row>
    <row r="22" spans="1:15" s="24" customFormat="1" ht="20.100000000000001" customHeight="1" thickTop="1" thickBot="1" x14ac:dyDescent="0.35">
      <c r="A22" s="69"/>
      <c r="B22" s="70"/>
      <c r="C22" s="70"/>
      <c r="D22" s="72"/>
      <c r="E22" s="31" t="s">
        <v>55</v>
      </c>
      <c r="F22" s="32">
        <f t="shared" si="0"/>
        <v>45574</v>
      </c>
      <c r="G22" s="32">
        <f>WORKDAY(G21,H22)</f>
        <v>45582</v>
      </c>
      <c r="H22" s="33">
        <v>6</v>
      </c>
      <c r="I22" s="30" t="s">
        <v>51</v>
      </c>
      <c r="J22" s="45">
        <f t="shared" si="2"/>
        <v>45545</v>
      </c>
      <c r="K22" s="44">
        <f>WORKDAY(K21,L22)+5</f>
        <v>45559</v>
      </c>
      <c r="L22" s="46">
        <v>7</v>
      </c>
      <c r="M22" s="45">
        <f t="shared" si="1"/>
        <v>45576</v>
      </c>
      <c r="N22" s="44">
        <f>WORKDAY(M22,O22)</f>
        <v>45581</v>
      </c>
      <c r="O22" s="46">
        <v>3</v>
      </c>
    </row>
    <row r="23" spans="1:15" s="24" customFormat="1" ht="20.100000000000001" customHeight="1" thickTop="1" x14ac:dyDescent="0.3">
      <c r="A23" s="76" t="s">
        <v>56</v>
      </c>
      <c r="B23" s="77"/>
      <c r="C23" s="77"/>
      <c r="D23" s="51">
        <v>5</v>
      </c>
      <c r="E23" s="24" t="s">
        <v>57</v>
      </c>
      <c r="F23" s="44">
        <f t="shared" si="0"/>
        <v>45582</v>
      </c>
      <c r="G23" s="44">
        <f>WORKDAY(G22,H23)</f>
        <v>45583</v>
      </c>
      <c r="H23" s="25">
        <v>1</v>
      </c>
      <c r="I23" s="83" t="s">
        <v>51</v>
      </c>
      <c r="J23" s="27">
        <f t="shared" si="2"/>
        <v>45559</v>
      </c>
      <c r="K23" s="38">
        <f>WORKDAY(K22,L23)</f>
        <v>45566</v>
      </c>
      <c r="L23" s="29">
        <v>5</v>
      </c>
      <c r="M23" s="27">
        <f t="shared" si="1"/>
        <v>45581</v>
      </c>
      <c r="N23" s="38">
        <f>WORKDAY(N22,O23)+1</f>
        <v>45595</v>
      </c>
      <c r="O23" s="29">
        <v>9</v>
      </c>
    </row>
    <row r="24" spans="1:15" s="24" customFormat="1" ht="20.100000000000001" customHeight="1" x14ac:dyDescent="0.3">
      <c r="A24" s="78"/>
      <c r="B24" s="79"/>
      <c r="C24" s="79"/>
      <c r="D24" s="82"/>
      <c r="E24" s="24" t="s">
        <v>58</v>
      </c>
      <c r="F24" s="44">
        <f>+G23</f>
        <v>45583</v>
      </c>
      <c r="G24" s="44">
        <f t="shared" ref="G24:G25" si="3">WORKDAY(G23,H24)</f>
        <v>45583</v>
      </c>
      <c r="H24" s="25">
        <v>0</v>
      </c>
      <c r="I24" s="84"/>
      <c r="J24" s="45">
        <f>+K23</f>
        <v>45566</v>
      </c>
      <c r="K24" s="44">
        <f>WORKDAY(K23,L24)</f>
        <v>45566</v>
      </c>
      <c r="L24" s="46">
        <v>0</v>
      </c>
      <c r="M24" s="45">
        <f t="shared" si="1"/>
        <v>45595</v>
      </c>
      <c r="N24" s="44">
        <f>WORKDAY(N23,O24)</f>
        <v>45595</v>
      </c>
      <c r="O24" s="46">
        <v>0</v>
      </c>
    </row>
    <row r="25" spans="1:15" s="24" customFormat="1" ht="20.100000000000001" customHeight="1" x14ac:dyDescent="0.3">
      <c r="A25" s="78"/>
      <c r="B25" s="79"/>
      <c r="C25" s="79"/>
      <c r="D25" s="82"/>
      <c r="E25" s="24" t="s">
        <v>59</v>
      </c>
      <c r="F25" s="44">
        <f>+G24</f>
        <v>45583</v>
      </c>
      <c r="G25" s="44">
        <f t="shared" si="3"/>
        <v>45583</v>
      </c>
      <c r="H25" s="25">
        <v>0</v>
      </c>
      <c r="I25" s="84"/>
      <c r="J25" s="45">
        <f>+K24</f>
        <v>45566</v>
      </c>
      <c r="K25" s="44">
        <f>WORKDAY(K24,L25)</f>
        <v>45566</v>
      </c>
      <c r="L25" s="46">
        <v>0</v>
      </c>
      <c r="M25" s="45">
        <f t="shared" si="1"/>
        <v>45595</v>
      </c>
      <c r="N25" s="44">
        <f>WORKDAY(N24,O25)</f>
        <v>45595</v>
      </c>
      <c r="O25" s="46">
        <v>0</v>
      </c>
    </row>
    <row r="26" spans="1:15" s="24" customFormat="1" ht="20.100000000000001" customHeight="1" x14ac:dyDescent="0.3">
      <c r="A26" s="78"/>
      <c r="B26" s="79"/>
      <c r="C26" s="79"/>
      <c r="D26" s="74">
        <v>15</v>
      </c>
      <c r="E26" s="42" t="s">
        <v>60</v>
      </c>
      <c r="F26" s="38">
        <f>+G25</f>
        <v>45583</v>
      </c>
      <c r="G26" s="38">
        <f>WORKDAY(G25,H26)</f>
        <v>45593</v>
      </c>
      <c r="H26" s="39">
        <v>6</v>
      </c>
      <c r="I26" s="37"/>
      <c r="J26" s="27">
        <f>+K25</f>
        <v>45566</v>
      </c>
      <c r="K26" s="38">
        <f>WORKDAY(K25,L26)</f>
        <v>45574</v>
      </c>
      <c r="L26" s="29">
        <v>6</v>
      </c>
      <c r="M26" s="27">
        <f t="shared" si="1"/>
        <v>45595</v>
      </c>
      <c r="N26" s="38">
        <f>WORKDAY(N25,O26)+1</f>
        <v>45610</v>
      </c>
      <c r="O26" s="29">
        <v>10</v>
      </c>
    </row>
    <row r="27" spans="1:15" s="24" customFormat="1" ht="20.100000000000001" customHeight="1" x14ac:dyDescent="0.3">
      <c r="A27" s="78"/>
      <c r="B27" s="79"/>
      <c r="C27" s="79"/>
      <c r="D27" s="71"/>
      <c r="E27" s="24" t="s">
        <v>61</v>
      </c>
      <c r="F27" s="44">
        <f t="shared" si="0"/>
        <v>45593</v>
      </c>
      <c r="G27" s="44">
        <f>WORKDAY(F27,H27)+4</f>
        <v>45599</v>
      </c>
      <c r="H27" s="25">
        <v>2</v>
      </c>
      <c r="I27" s="23"/>
      <c r="J27" s="45">
        <f t="shared" si="2"/>
        <v>45574</v>
      </c>
      <c r="K27" s="44">
        <f>WORKDAY(J27,L27)</f>
        <v>45576</v>
      </c>
      <c r="L27" s="46">
        <v>2</v>
      </c>
      <c r="M27" s="45">
        <f t="shared" si="1"/>
        <v>45610</v>
      </c>
      <c r="N27" s="44">
        <f>WORKDAY(M27,O27)</f>
        <v>45614</v>
      </c>
      <c r="O27" s="46">
        <v>2</v>
      </c>
    </row>
    <row r="28" spans="1:15" s="24" customFormat="1" ht="20.100000000000001" customHeight="1" x14ac:dyDescent="0.3">
      <c r="A28" s="78"/>
      <c r="B28" s="79"/>
      <c r="C28" s="79"/>
      <c r="D28" s="71"/>
      <c r="E28" s="24" t="s">
        <v>62</v>
      </c>
      <c r="F28" s="44">
        <f t="shared" si="0"/>
        <v>45599</v>
      </c>
      <c r="G28" s="44">
        <f>WORKDAY(F28,H28)</f>
        <v>45602</v>
      </c>
      <c r="H28" s="25">
        <v>3</v>
      </c>
      <c r="I28" s="23"/>
      <c r="J28" s="45">
        <f t="shared" si="2"/>
        <v>45576</v>
      </c>
      <c r="K28" s="44">
        <f>WORKDAY(J28,L28)</f>
        <v>45581</v>
      </c>
      <c r="L28" s="46">
        <v>3</v>
      </c>
      <c r="M28" s="45">
        <f t="shared" si="1"/>
        <v>45614</v>
      </c>
      <c r="N28" s="44">
        <f>WORKDAY(M28,O28)</f>
        <v>45617</v>
      </c>
      <c r="O28" s="46">
        <v>3</v>
      </c>
    </row>
    <row r="29" spans="1:15" s="24" customFormat="1" ht="20.100000000000001" customHeight="1" x14ac:dyDescent="0.3">
      <c r="A29" s="78"/>
      <c r="B29" s="79"/>
      <c r="C29" s="79"/>
      <c r="D29" s="71"/>
      <c r="E29" s="24" t="s">
        <v>63</v>
      </c>
      <c r="F29" s="44">
        <f t="shared" si="0"/>
        <v>45602</v>
      </c>
      <c r="G29" s="44">
        <f>WORKDAY(F29,H29)</f>
        <v>45604</v>
      </c>
      <c r="H29" s="25">
        <v>2</v>
      </c>
      <c r="I29" s="23"/>
      <c r="J29" s="45">
        <f t="shared" si="2"/>
        <v>45581</v>
      </c>
      <c r="K29" s="44">
        <f>WORKDAY(J29,L29)</f>
        <v>45583</v>
      </c>
      <c r="L29" s="46">
        <v>2</v>
      </c>
      <c r="M29" s="45">
        <f t="shared" si="1"/>
        <v>45617</v>
      </c>
      <c r="N29" s="44">
        <f>WORKDAY(M29,O29)</f>
        <v>45621</v>
      </c>
      <c r="O29" s="46">
        <v>2</v>
      </c>
    </row>
    <row r="30" spans="1:15" s="24" customFormat="1" ht="20.100000000000001" customHeight="1" x14ac:dyDescent="0.3">
      <c r="A30" s="78"/>
      <c r="B30" s="79"/>
      <c r="C30" s="79"/>
      <c r="D30" s="71"/>
      <c r="E30" s="24" t="s">
        <v>64</v>
      </c>
      <c r="F30" s="85">
        <f>WORKDAY(G29,H30)</f>
        <v>45607</v>
      </c>
      <c r="G30" s="85">
        <f t="shared" ref="G30:G35" si="4">WORKDAY(F30,H30)</f>
        <v>45608</v>
      </c>
      <c r="H30" s="25">
        <v>1</v>
      </c>
      <c r="I30" s="23"/>
      <c r="J30" s="86">
        <f>WORKDAY(K29,L30)</f>
        <v>45586</v>
      </c>
      <c r="K30" s="85"/>
      <c r="L30" s="46">
        <v>1</v>
      </c>
      <c r="M30" s="86">
        <f>WORKDAY(N29,O30)</f>
        <v>45621</v>
      </c>
      <c r="N30" s="85"/>
      <c r="O30" s="46">
        <v>0</v>
      </c>
    </row>
    <row r="31" spans="1:15" s="24" customFormat="1" ht="20.100000000000001" customHeight="1" thickBot="1" x14ac:dyDescent="0.35">
      <c r="A31" s="80"/>
      <c r="B31" s="81"/>
      <c r="C31" s="81"/>
      <c r="D31" s="72"/>
      <c r="E31" s="31" t="s">
        <v>65</v>
      </c>
      <c r="F31" s="52">
        <f>WORKDAY(F30,H31)</f>
        <v>45608</v>
      </c>
      <c r="G31" s="52">
        <f t="shared" si="4"/>
        <v>45609</v>
      </c>
      <c r="H31" s="33">
        <v>1</v>
      </c>
      <c r="I31" s="30"/>
      <c r="J31" s="53">
        <f>WORKDAY(J30,L31)</f>
        <v>45587</v>
      </c>
      <c r="K31" s="52"/>
      <c r="L31" s="36">
        <v>1</v>
      </c>
      <c r="M31" s="53">
        <f>WORKDAY(M30,O31)</f>
        <v>45622</v>
      </c>
      <c r="N31" s="52"/>
      <c r="O31" s="36">
        <v>1</v>
      </c>
    </row>
    <row r="32" spans="1:15" s="24" customFormat="1" ht="20.100000000000001" customHeight="1" thickTop="1" thickBot="1" x14ac:dyDescent="0.35">
      <c r="A32" s="69" t="s">
        <v>66</v>
      </c>
      <c r="B32" s="70"/>
      <c r="C32" s="70"/>
      <c r="D32" s="74">
        <v>5</v>
      </c>
      <c r="E32" s="42" t="s">
        <v>67</v>
      </c>
      <c r="F32" s="75">
        <f>WORKDAY(F31,H32)</f>
        <v>45609</v>
      </c>
      <c r="G32" s="75">
        <f t="shared" si="4"/>
        <v>45610</v>
      </c>
      <c r="H32" s="39">
        <v>1</v>
      </c>
      <c r="I32" s="26"/>
      <c r="J32" s="86">
        <f>WORKDAY(J31,L32)</f>
        <v>45588</v>
      </c>
      <c r="K32" s="85"/>
      <c r="L32" s="46">
        <v>1</v>
      </c>
      <c r="M32" s="86">
        <f>WORKDAY(M31,O32)</f>
        <v>45623</v>
      </c>
      <c r="N32" s="85"/>
      <c r="O32" s="46">
        <v>1</v>
      </c>
    </row>
    <row r="33" spans="1:15" s="24" customFormat="1" ht="20.100000000000001" customHeight="1" thickTop="1" thickBot="1" x14ac:dyDescent="0.35">
      <c r="A33" s="69"/>
      <c r="B33" s="70"/>
      <c r="C33" s="70"/>
      <c r="D33" s="71"/>
      <c r="E33" s="24" t="s">
        <v>68</v>
      </c>
      <c r="F33" s="85">
        <f>WORKDAY(F32,H33)</f>
        <v>45611</v>
      </c>
      <c r="G33" s="85">
        <f t="shared" si="4"/>
        <v>45615</v>
      </c>
      <c r="H33" s="25">
        <v>2</v>
      </c>
      <c r="I33" s="26"/>
      <c r="J33" s="86">
        <f>WORKDAY(J32,L33)</f>
        <v>45590</v>
      </c>
      <c r="K33" s="85"/>
      <c r="L33" s="46">
        <v>2</v>
      </c>
      <c r="M33" s="86">
        <f>WORKDAY(M32,O33)</f>
        <v>45625</v>
      </c>
      <c r="N33" s="85"/>
      <c r="O33" s="46">
        <v>2</v>
      </c>
    </row>
    <row r="34" spans="1:15" s="24" customFormat="1" ht="20.100000000000001" customHeight="1" thickTop="1" thickBot="1" x14ac:dyDescent="0.35">
      <c r="A34" s="69"/>
      <c r="B34" s="70"/>
      <c r="C34" s="70"/>
      <c r="D34" s="71"/>
      <c r="E34" s="24" t="s">
        <v>69</v>
      </c>
      <c r="F34" s="85">
        <f>WORKDAY(F33,H34)</f>
        <v>45614</v>
      </c>
      <c r="G34" s="85">
        <f t="shared" si="4"/>
        <v>45615</v>
      </c>
      <c r="H34" s="25">
        <v>1</v>
      </c>
      <c r="I34" s="26"/>
      <c r="J34" s="86">
        <f>WORKDAY(J33,L34)</f>
        <v>45593</v>
      </c>
      <c r="K34" s="85"/>
      <c r="L34" s="46">
        <v>1</v>
      </c>
      <c r="M34" s="86">
        <f>WORKDAY(M33,O34)</f>
        <v>45628</v>
      </c>
      <c r="N34" s="85"/>
      <c r="O34" s="46">
        <v>1</v>
      </c>
    </row>
    <row r="35" spans="1:15" s="24" customFormat="1" ht="20.100000000000001" customHeight="1" thickTop="1" thickBot="1" x14ac:dyDescent="0.35">
      <c r="A35" s="69"/>
      <c r="B35" s="70"/>
      <c r="C35" s="70"/>
      <c r="D35" s="72"/>
      <c r="E35" s="31" t="s">
        <v>70</v>
      </c>
      <c r="F35" s="52">
        <f>WORKDAY(F34,H35)</f>
        <v>45615</v>
      </c>
      <c r="G35" s="52">
        <f t="shared" si="4"/>
        <v>45616</v>
      </c>
      <c r="H35" s="33">
        <v>1</v>
      </c>
      <c r="I35" s="34"/>
      <c r="J35" s="53">
        <f>WORKDAY(J34,L35)</f>
        <v>45594</v>
      </c>
      <c r="K35" s="52"/>
      <c r="L35" s="36">
        <v>1</v>
      </c>
      <c r="M35" s="53">
        <f>WORKDAY(M34,O35)</f>
        <v>45629</v>
      </c>
      <c r="N35" s="52"/>
      <c r="O35" s="36">
        <v>1</v>
      </c>
    </row>
    <row r="36" spans="1:15" ht="15" thickTop="1" x14ac:dyDescent="0.3"/>
    <row r="37" spans="1:15" ht="21" x14ac:dyDescent="0.4">
      <c r="A37" s="15" t="s">
        <v>71</v>
      </c>
      <c r="D37" s="48">
        <f>SUM(D13:D36)</f>
        <v>47</v>
      </c>
      <c r="G37" s="15" t="s">
        <v>72</v>
      </c>
      <c r="H37" s="48">
        <f>SUM(H13:H35)</f>
        <v>41</v>
      </c>
      <c r="K37" s="87" t="s">
        <v>73</v>
      </c>
      <c r="L37" s="48">
        <f>SUM(L13:L36)</f>
        <v>57</v>
      </c>
    </row>
    <row r="38" spans="1:15" x14ac:dyDescent="0.3">
      <c r="D38" s="49" t="s">
        <v>74</v>
      </c>
      <c r="H38" s="49" t="s">
        <v>74</v>
      </c>
      <c r="K38" s="87"/>
      <c r="L38" s="49" t="s">
        <v>74</v>
      </c>
    </row>
  </sheetData>
  <mergeCells count="47">
    <mergeCell ref="K37:K38"/>
    <mergeCell ref="M31:N31"/>
    <mergeCell ref="A32:C35"/>
    <mergeCell ref="D32:D35"/>
    <mergeCell ref="F32:G32"/>
    <mergeCell ref="J32:K32"/>
    <mergeCell ref="M32:N32"/>
    <mergeCell ref="F33:G33"/>
    <mergeCell ref="J33:K33"/>
    <mergeCell ref="M33:N33"/>
    <mergeCell ref="F34:G34"/>
    <mergeCell ref="J34:K34"/>
    <mergeCell ref="M34:N34"/>
    <mergeCell ref="F35:G35"/>
    <mergeCell ref="J35:K35"/>
    <mergeCell ref="M35:N35"/>
    <mergeCell ref="M18:N18"/>
    <mergeCell ref="A23:C31"/>
    <mergeCell ref="D23:D25"/>
    <mergeCell ref="I23:I25"/>
    <mergeCell ref="D26:D31"/>
    <mergeCell ref="F30:G30"/>
    <mergeCell ref="J30:K30"/>
    <mergeCell ref="M30:N30"/>
    <mergeCell ref="F31:G31"/>
    <mergeCell ref="J31:K31"/>
    <mergeCell ref="J18:K18"/>
    <mergeCell ref="A15:C17"/>
    <mergeCell ref="D15:D17"/>
    <mergeCell ref="A18:C22"/>
    <mergeCell ref="D18:D22"/>
    <mergeCell ref="F18:G18"/>
    <mergeCell ref="M13:N13"/>
    <mergeCell ref="F14:G14"/>
    <mergeCell ref="J14:K14"/>
    <mergeCell ref="M14:N14"/>
    <mergeCell ref="A2:H2"/>
    <mergeCell ref="B4:D4"/>
    <mergeCell ref="B6:H6"/>
    <mergeCell ref="B8:D8"/>
    <mergeCell ref="J11:L11"/>
    <mergeCell ref="M11:O11"/>
    <mergeCell ref="A12:C12"/>
    <mergeCell ref="A13:C14"/>
    <mergeCell ref="D13:D14"/>
    <mergeCell ref="F13:G13"/>
    <mergeCell ref="J13:K13"/>
  </mergeCells>
  <conditionalFormatting sqref="E13:E14 E16 E18:E35">
    <cfRule type="cellIs" dxfId="44" priority="45" operator="equal">
      <formula>0</formula>
    </cfRule>
  </conditionalFormatting>
  <conditionalFormatting sqref="F13:F14">
    <cfRule type="expression" dxfId="43" priority="44">
      <formula>"O($B$8=Datos!$G$10;$B$8=Datos!$I$10)"</formula>
    </cfRule>
  </conditionalFormatting>
  <conditionalFormatting sqref="J13">
    <cfRule type="cellIs" dxfId="42" priority="43" operator="greaterThan">
      <formula>45026</formula>
    </cfRule>
  </conditionalFormatting>
  <conditionalFormatting sqref="J14">
    <cfRule type="cellIs" dxfId="41" priority="42" operator="greaterThan">
      <formula>45028</formula>
    </cfRule>
  </conditionalFormatting>
  <conditionalFormatting sqref="J18">
    <cfRule type="cellIs" dxfId="40" priority="1" operator="greaterThan">
      <formula>$F$18</formula>
    </cfRule>
  </conditionalFormatting>
  <conditionalFormatting sqref="J14:K14">
    <cfRule type="cellIs" dxfId="39" priority="41" operator="greaterThan">
      <formula>$F$14</formula>
    </cfRule>
  </conditionalFormatting>
  <conditionalFormatting sqref="J30:K30">
    <cfRule type="cellIs" dxfId="38" priority="29" operator="greaterThan">
      <formula>$F$30</formula>
    </cfRule>
  </conditionalFormatting>
  <conditionalFormatting sqref="J31:K31">
    <cfRule type="cellIs" dxfId="37" priority="28" operator="greaterThan">
      <formula>$F$31</formula>
    </cfRule>
  </conditionalFormatting>
  <conditionalFormatting sqref="J32:K32">
    <cfRule type="cellIs" dxfId="36" priority="27" operator="greaterThan">
      <formula>$F$32</formula>
    </cfRule>
  </conditionalFormatting>
  <conditionalFormatting sqref="J33:K33">
    <cfRule type="cellIs" dxfId="35" priority="26" operator="greaterThan">
      <formula>$F$33</formula>
    </cfRule>
  </conditionalFormatting>
  <conditionalFormatting sqref="J34:K34">
    <cfRule type="cellIs" dxfId="34" priority="25" operator="greaterThan">
      <formula>$F$34</formula>
    </cfRule>
  </conditionalFormatting>
  <conditionalFormatting sqref="J35:K35">
    <cfRule type="cellIs" dxfId="33" priority="24" operator="greaterThan">
      <formula>$F$35</formula>
    </cfRule>
  </conditionalFormatting>
  <conditionalFormatting sqref="K16">
    <cfRule type="cellIs" dxfId="32" priority="40" operator="greaterThan">
      <formula>$G$16</formula>
    </cfRule>
  </conditionalFormatting>
  <conditionalFormatting sqref="K19">
    <cfRule type="cellIs" dxfId="31" priority="39" operator="greaterThan">
      <formula>$G$19</formula>
    </cfRule>
  </conditionalFormatting>
  <conditionalFormatting sqref="K20">
    <cfRule type="cellIs" dxfId="30" priority="38" operator="greaterThan">
      <formula>$G$20</formula>
    </cfRule>
  </conditionalFormatting>
  <conditionalFormatting sqref="K21:K22">
    <cfRule type="cellIs" dxfId="29" priority="37" operator="greaterThan">
      <formula>$G$21</formula>
    </cfRule>
  </conditionalFormatting>
  <conditionalFormatting sqref="K23">
    <cfRule type="cellIs" dxfId="28" priority="36" operator="greaterThan">
      <formula>$G$23</formula>
    </cfRule>
  </conditionalFormatting>
  <conditionalFormatting sqref="K24">
    <cfRule type="cellIs" dxfId="27" priority="35" operator="greaterThan">
      <formula>$G$24</formula>
    </cfRule>
  </conditionalFormatting>
  <conditionalFormatting sqref="K25">
    <cfRule type="cellIs" dxfId="26" priority="34" operator="greaterThan">
      <formula>$G$25</formula>
    </cfRule>
  </conditionalFormatting>
  <conditionalFormatting sqref="K26">
    <cfRule type="cellIs" dxfId="25" priority="33" operator="greaterThan">
      <formula>$G$26</formula>
    </cfRule>
  </conditionalFormatting>
  <conditionalFormatting sqref="K27">
    <cfRule type="cellIs" dxfId="24" priority="32" operator="greaterThan">
      <formula>$G$27</formula>
    </cfRule>
  </conditionalFormatting>
  <conditionalFormatting sqref="K28">
    <cfRule type="cellIs" dxfId="23" priority="31" operator="greaterThan">
      <formula>$G$28</formula>
    </cfRule>
  </conditionalFormatting>
  <conditionalFormatting sqref="K29">
    <cfRule type="cellIs" dxfId="22" priority="30" operator="greaterThan">
      <formula>$G$29</formula>
    </cfRule>
  </conditionalFormatting>
  <conditionalFormatting sqref="M13">
    <cfRule type="cellIs" dxfId="21" priority="23" operator="greaterThan">
      <formula>45026</formula>
    </cfRule>
  </conditionalFormatting>
  <conditionalFormatting sqref="M14">
    <cfRule type="cellIs" dxfId="20" priority="22" operator="greaterThan">
      <formula>45028</formula>
    </cfRule>
  </conditionalFormatting>
  <conditionalFormatting sqref="M18">
    <cfRule type="cellIs" dxfId="19" priority="2" operator="greaterThan">
      <formula>$F$18</formula>
    </cfRule>
  </conditionalFormatting>
  <conditionalFormatting sqref="M14:N14">
    <cfRule type="cellIs" dxfId="18" priority="21" operator="greaterThan">
      <formula>$F$14</formula>
    </cfRule>
  </conditionalFormatting>
  <conditionalFormatting sqref="M30:N30">
    <cfRule type="cellIs" dxfId="17" priority="8" operator="greaterThan">
      <formula>$F$30</formula>
    </cfRule>
  </conditionalFormatting>
  <conditionalFormatting sqref="M31:N31">
    <cfRule type="cellIs" dxfId="16" priority="7" operator="greaterThan">
      <formula>$F$31</formula>
    </cfRule>
  </conditionalFormatting>
  <conditionalFormatting sqref="M32:N32">
    <cfRule type="cellIs" dxfId="15" priority="6" operator="greaterThan">
      <formula>$F$32</formula>
    </cfRule>
  </conditionalFormatting>
  <conditionalFormatting sqref="M33:N33">
    <cfRule type="cellIs" dxfId="14" priority="5" operator="greaterThan">
      <formula>$F$33</formula>
    </cfRule>
  </conditionalFormatting>
  <conditionalFormatting sqref="M34:N34">
    <cfRule type="cellIs" dxfId="13" priority="4" operator="greaterThan">
      <formula>$F$34</formula>
    </cfRule>
  </conditionalFormatting>
  <conditionalFormatting sqref="M35:N35">
    <cfRule type="cellIs" dxfId="12" priority="3" operator="greaterThan">
      <formula>$F$35</formula>
    </cfRule>
  </conditionalFormatting>
  <conditionalFormatting sqref="N16">
    <cfRule type="cellIs" dxfId="11" priority="20" operator="greaterThan">
      <formula>$G$16</formula>
    </cfRule>
  </conditionalFormatting>
  <conditionalFormatting sqref="N19">
    <cfRule type="cellIs" dxfId="10" priority="19" operator="greaterThan">
      <formula>$G$19</formula>
    </cfRule>
  </conditionalFormatting>
  <conditionalFormatting sqref="N20">
    <cfRule type="cellIs" dxfId="9" priority="18" operator="greaterThan">
      <formula>$G$20</formula>
    </cfRule>
  </conditionalFormatting>
  <conditionalFormatting sqref="N21">
    <cfRule type="cellIs" dxfId="8" priority="17" operator="greaterThan">
      <formula>$G$21</formula>
    </cfRule>
  </conditionalFormatting>
  <conditionalFormatting sqref="N22">
    <cfRule type="cellIs" dxfId="7" priority="16" operator="greaterThan">
      <formula>$G$22</formula>
    </cfRule>
  </conditionalFormatting>
  <conditionalFormatting sqref="N23">
    <cfRule type="cellIs" dxfId="6" priority="15" operator="greaterThan">
      <formula>$G$23</formula>
    </cfRule>
  </conditionalFormatting>
  <conditionalFormatting sqref="N24">
    <cfRule type="cellIs" dxfId="5" priority="14" operator="greaterThan">
      <formula>$G$24</formula>
    </cfRule>
  </conditionalFormatting>
  <conditionalFormatting sqref="N25">
    <cfRule type="cellIs" dxfId="4" priority="13" operator="greaterThan">
      <formula>$G$25</formula>
    </cfRule>
  </conditionalFormatting>
  <conditionalFormatting sqref="N26">
    <cfRule type="cellIs" dxfId="3" priority="12" operator="greaterThan">
      <formula>$G$26</formula>
    </cfRule>
  </conditionalFormatting>
  <conditionalFormatting sqref="N27">
    <cfRule type="cellIs" dxfId="2" priority="11" operator="greaterThan">
      <formula>$G$27</formula>
    </cfRule>
  </conditionalFormatting>
  <conditionalFormatting sqref="N28">
    <cfRule type="cellIs" dxfId="1" priority="10" operator="greaterThan">
      <formula>$G$28</formula>
    </cfRule>
  </conditionalFormatting>
  <conditionalFormatting sqref="N29">
    <cfRule type="cellIs" dxfId="0" priority="9" operator="greaterThan">
      <formula>$G$29</formula>
    </cfRule>
  </conditionalFormatting>
  <dataValidations count="2">
    <dataValidation type="list" allowBlank="1" showInputMessage="1" showErrorMessage="1" sqref="G8" xr:uid="{243E4611-CC21-463B-A048-82569D6D3FD4}">
      <formula1>#REF!</formula1>
    </dataValidation>
    <dataValidation type="list" allowBlank="1" showInputMessage="1" showErrorMessage="1" sqref="J6" xr:uid="{A8BB9755-457A-4169-8568-604D1C4C0C42}">
      <formula1>"Servicio Urgente, Servicio Standard"</formula1>
    </dataValidation>
  </dataValidation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3C45-E166-4C5E-827F-96C7416B3218}">
  <dimension ref="A1:H33"/>
  <sheetViews>
    <sheetView workbookViewId="0">
      <selection activeCell="F37" sqref="F37"/>
    </sheetView>
  </sheetViews>
  <sheetFormatPr baseColWidth="10" defaultRowHeight="14.4" x14ac:dyDescent="0.3"/>
  <cols>
    <col min="2" max="2" width="20" bestFit="1" customWidth="1"/>
    <col min="5" max="5" width="62.21875" customWidth="1"/>
    <col min="9" max="9" width="11.77734375" bestFit="1" customWidth="1"/>
  </cols>
  <sheetData>
    <row r="1" spans="1:8" x14ac:dyDescent="0.3">
      <c r="A1" t="s">
        <v>0</v>
      </c>
      <c r="B1" s="88" t="s">
        <v>1</v>
      </c>
      <c r="C1" s="88"/>
    </row>
    <row r="2" spans="1:8" x14ac:dyDescent="0.3">
      <c r="A2" s="89" t="s">
        <v>26</v>
      </c>
      <c r="B2" t="s">
        <v>2</v>
      </c>
    </row>
    <row r="3" spans="1:8" x14ac:dyDescent="0.3">
      <c r="A3" s="89"/>
      <c r="B3" t="s">
        <v>3</v>
      </c>
    </row>
    <row r="4" spans="1:8" x14ac:dyDescent="0.3">
      <c r="A4" s="89" t="s">
        <v>26</v>
      </c>
      <c r="B4" t="s">
        <v>2</v>
      </c>
    </row>
    <row r="5" spans="1:8" x14ac:dyDescent="0.3">
      <c r="A5" s="89"/>
      <c r="B5" t="s">
        <v>3</v>
      </c>
    </row>
    <row r="6" spans="1:8" x14ac:dyDescent="0.3">
      <c r="A6" s="89" t="s">
        <v>26</v>
      </c>
      <c r="B6" t="s">
        <v>2</v>
      </c>
    </row>
    <row r="7" spans="1:8" x14ac:dyDescent="0.3">
      <c r="A7" s="89"/>
      <c r="B7" t="s">
        <v>3</v>
      </c>
    </row>
    <row r="8" spans="1:8" x14ac:dyDescent="0.3">
      <c r="E8" s="1" t="s">
        <v>2</v>
      </c>
      <c r="F8" t="s">
        <v>26</v>
      </c>
      <c r="G8" t="s">
        <v>26</v>
      </c>
      <c r="H8" t="s">
        <v>26</v>
      </c>
    </row>
    <row r="9" spans="1:8" x14ac:dyDescent="0.3">
      <c r="E9" t="s">
        <v>4</v>
      </c>
      <c r="F9" s="2" t="s">
        <v>5</v>
      </c>
      <c r="G9" s="2" t="s">
        <v>5</v>
      </c>
      <c r="H9" s="3"/>
    </row>
    <row r="10" spans="1:8" x14ac:dyDescent="0.3">
      <c r="D10" t="s">
        <v>6</v>
      </c>
      <c r="E10" t="s">
        <v>7</v>
      </c>
      <c r="F10" s="4" t="s">
        <v>8</v>
      </c>
      <c r="G10" s="2" t="s">
        <v>5</v>
      </c>
      <c r="H10" s="3"/>
    </row>
    <row r="11" spans="1:8" x14ac:dyDescent="0.3">
      <c r="D11" t="s">
        <v>6</v>
      </c>
      <c r="E11" t="s">
        <v>9</v>
      </c>
      <c r="F11" s="4" t="s">
        <v>8</v>
      </c>
      <c r="G11" s="2" t="s">
        <v>5</v>
      </c>
      <c r="H11" s="3"/>
    </row>
    <row r="12" spans="1:8" x14ac:dyDescent="0.3">
      <c r="E12" t="s">
        <v>10</v>
      </c>
      <c r="F12" s="2" t="s">
        <v>5</v>
      </c>
      <c r="G12" s="2" t="s">
        <v>5</v>
      </c>
      <c r="H12" s="3"/>
    </row>
    <row r="13" spans="1:8" x14ac:dyDescent="0.3">
      <c r="E13" t="s">
        <v>11</v>
      </c>
      <c r="F13" s="2" t="s">
        <v>5</v>
      </c>
      <c r="G13" s="2" t="s">
        <v>5</v>
      </c>
      <c r="H13" s="3"/>
    </row>
    <row r="14" spans="1:8" x14ac:dyDescent="0.3">
      <c r="E14" t="s">
        <v>12</v>
      </c>
      <c r="F14" s="2" t="s">
        <v>5</v>
      </c>
      <c r="G14" s="2" t="s">
        <v>5</v>
      </c>
      <c r="H14" s="3"/>
    </row>
    <row r="15" spans="1:8" x14ac:dyDescent="0.3">
      <c r="D15" t="s">
        <v>6</v>
      </c>
      <c r="E15" t="s">
        <v>13</v>
      </c>
      <c r="F15" s="4" t="s">
        <v>8</v>
      </c>
      <c r="G15" s="2" t="s">
        <v>5</v>
      </c>
      <c r="H15" s="3"/>
    </row>
    <row r="16" spans="1:8" x14ac:dyDescent="0.3">
      <c r="D16" t="s">
        <v>6</v>
      </c>
      <c r="E16" t="s">
        <v>14</v>
      </c>
      <c r="F16" s="4" t="s">
        <v>8</v>
      </c>
      <c r="G16" s="2" t="s">
        <v>5</v>
      </c>
      <c r="H16" s="3"/>
    </row>
    <row r="17" spans="4:8" x14ac:dyDescent="0.3">
      <c r="D17" t="s">
        <v>6</v>
      </c>
      <c r="E17" t="s">
        <v>15</v>
      </c>
      <c r="F17" s="4" t="s">
        <v>8</v>
      </c>
      <c r="G17" s="2" t="s">
        <v>5</v>
      </c>
      <c r="H17" s="3"/>
    </row>
    <row r="18" spans="4:8" x14ac:dyDescent="0.3">
      <c r="E18" s="1" t="s">
        <v>3</v>
      </c>
    </row>
    <row r="19" spans="4:8" x14ac:dyDescent="0.3">
      <c r="E19" t="s">
        <v>16</v>
      </c>
      <c r="F19" s="2" t="s">
        <v>5</v>
      </c>
      <c r="G19" s="2" t="s">
        <v>5</v>
      </c>
      <c r="H19" s="2" t="s">
        <v>5</v>
      </c>
    </row>
    <row r="20" spans="4:8" x14ac:dyDescent="0.3">
      <c r="E20" t="s">
        <v>17</v>
      </c>
      <c r="F20" s="2" t="s">
        <v>5</v>
      </c>
      <c r="G20" s="2" t="s">
        <v>5</v>
      </c>
      <c r="H20" s="2" t="s">
        <v>5</v>
      </c>
    </row>
    <row r="21" spans="4:8" x14ac:dyDescent="0.3">
      <c r="E21" t="s">
        <v>18</v>
      </c>
      <c r="F21" s="2" t="s">
        <v>5</v>
      </c>
      <c r="G21" s="2" t="s">
        <v>5</v>
      </c>
      <c r="H21" s="2" t="s">
        <v>5</v>
      </c>
    </row>
    <row r="22" spans="4:8" x14ac:dyDescent="0.3">
      <c r="E22" t="s">
        <v>19</v>
      </c>
      <c r="F22" s="2" t="s">
        <v>5</v>
      </c>
      <c r="G22" s="2" t="s">
        <v>5</v>
      </c>
      <c r="H22" s="2" t="s">
        <v>5</v>
      </c>
    </row>
    <row r="23" spans="4:8" x14ac:dyDescent="0.3">
      <c r="E23" s="1" t="s">
        <v>20</v>
      </c>
    </row>
    <row r="24" spans="4:8" x14ac:dyDescent="0.3">
      <c r="E24" t="s">
        <v>21</v>
      </c>
      <c r="F24" s="2" t="s">
        <v>5</v>
      </c>
      <c r="G24" s="2" t="s">
        <v>5</v>
      </c>
      <c r="H24" s="2" t="s">
        <v>5</v>
      </c>
    </row>
    <row r="25" spans="4:8" x14ac:dyDescent="0.3">
      <c r="E25" t="s">
        <v>22</v>
      </c>
      <c r="F25" s="2" t="s">
        <v>5</v>
      </c>
      <c r="G25" s="2" t="s">
        <v>5</v>
      </c>
      <c r="H25" s="2" t="s">
        <v>5</v>
      </c>
    </row>
    <row r="26" spans="4:8" x14ac:dyDescent="0.3">
      <c r="E26" t="s">
        <v>23</v>
      </c>
      <c r="F26" s="2" t="s">
        <v>5</v>
      </c>
      <c r="G26" s="2" t="s">
        <v>5</v>
      </c>
      <c r="H26" s="2" t="s">
        <v>5</v>
      </c>
    </row>
    <row r="27" spans="4:8" x14ac:dyDescent="0.3">
      <c r="E27" s="1" t="s">
        <v>24</v>
      </c>
    </row>
    <row r="28" spans="4:8" x14ac:dyDescent="0.3">
      <c r="E28" s="1" t="s">
        <v>25</v>
      </c>
    </row>
    <row r="33" spans="6:6" x14ac:dyDescent="0.3">
      <c r="F33" t="s">
        <v>27</v>
      </c>
    </row>
  </sheetData>
  <mergeCells count="4">
    <mergeCell ref="B1:C1"/>
    <mergeCell ref="A2:A3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REVISIÓN OFERTAS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Moyano Aguilera, Karen (Casa Matriz)</dc:creator>
  <cp:lastModifiedBy>Carlos Chozas</cp:lastModifiedBy>
  <dcterms:created xsi:type="dcterms:W3CDTF">2024-02-22T15:27:44Z</dcterms:created>
  <dcterms:modified xsi:type="dcterms:W3CDTF">2026-06-19T15:12:26Z</dcterms:modified>
</cp:coreProperties>
</file>